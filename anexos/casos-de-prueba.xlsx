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s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'Casos'!$A$1:$L$10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2E5E3A"/>
        <bgColor rgb="FF33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E5E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7" min="1" max="1"/>
    <col width="30" customWidth="1" style="7" min="2" max="2"/>
    <col width="22" customWidth="1" style="7" min="3" max="3"/>
    <col width="10" customWidth="1" style="7" min="4" max="4"/>
    <col width="24" customWidth="1" style="7" min="5" max="5"/>
    <col width="34" customWidth="1" style="7" min="6" max="6"/>
    <col width="50" customWidth="1" style="7" min="7" max="7"/>
    <col width="34" customWidth="1" style="7" min="8" max="8"/>
    <col width="40" customWidth="1" style="7" min="9" max="10"/>
    <col width="14" customWidth="1" style="7" min="11" max="11"/>
    <col width="30" customWidth="1" style="7" min="12" max="12"/>
  </cols>
  <sheetData>
    <row r="1" ht="15" customHeight="1" s="8">
      <c r="A1" s="9" t="inlineStr">
        <is>
          <t>ID</t>
        </is>
      </c>
      <c r="B1" s="9" t="inlineStr">
        <is>
          <t>Nombre</t>
        </is>
      </c>
      <c r="C1" s="9" t="inlineStr">
        <is>
          <t>Requerimientos</t>
        </is>
      </c>
      <c r="D1" s="9" t="inlineStr">
        <is>
          <t>Prioridad</t>
        </is>
      </c>
      <c r="E1" s="9" t="inlineStr">
        <is>
          <t>Tipo de prueba</t>
        </is>
      </c>
      <c r="F1" s="9" t="inlineStr">
        <is>
          <t>Precondiciones</t>
        </is>
      </c>
      <c r="G1" s="9" t="inlineStr">
        <is>
          <t>Pasos</t>
        </is>
      </c>
      <c r="H1" s="9" t="inlineStr">
        <is>
          <t>Datos de prueba</t>
        </is>
      </c>
      <c r="I1" s="9" t="inlineStr">
        <is>
          <t>Resultado esperado</t>
        </is>
      </c>
      <c r="J1" s="9" t="inlineStr">
        <is>
          <t>Criterio de aceptación</t>
        </is>
      </c>
      <c r="K1" s="9" t="inlineStr">
        <is>
          <t>Estado</t>
        </is>
      </c>
      <c r="L1" s="9" t="inlineStr">
        <is>
          <t>Resultado obtenido / evidencia</t>
        </is>
      </c>
    </row>
    <row r="2" ht="79.84999999999999" customHeight="1" s="8">
      <c r="A2" s="10" t="inlineStr">
        <is>
          <t>CP-01</t>
        </is>
      </c>
      <c r="B2" s="10" t="inlineStr">
        <is>
          <t>Inicio de sesión con credenciales válidas</t>
        </is>
      </c>
      <c r="C2" s="10" t="inlineStr">
        <is>
          <t>RF-1.1, NFR-SEG-1, NFR-SEG-2, NFR-SEG-9</t>
        </is>
      </c>
      <c r="D2" s="10" t="inlineStr">
        <is>
          <t>P1</t>
        </is>
      </c>
      <c r="E2" s="10" t="inlineStr">
        <is>
          <t>Funcional (sistema y API)</t>
        </is>
      </c>
      <c r="F2" s="10" t="inlineStr">
        <is>
          <t>Usuario activo asociado a una empresa. Ambiente QA con certificado TLS.</t>
        </is>
      </c>
      <c r="G2" s="10" t="inlineStr">
        <is>
          <t>1. Abrir la página de login con http:// y revisar que redirija a https://.
2. Ingresar usuario y contraseña válidos y presionar "Ingresar".
3. Revisar la respuesta de POST /api/auth/login.
4. Revisar en la base de datos cómo está guardada la contraseña.</t>
        </is>
      </c>
      <c r="H2" s="10" t="inlineStr">
        <is>
          <t>Usuario: admin.pyme01 / Contraseña: Atlas#Prueba2026</t>
        </is>
      </c>
      <c r="I2" s="10" t="inlineStr">
        <is>
          <t>Respuesta HTTP 200 con un JWT y un refresh token. El usuario llega al dashboard de su empresa. La respuesta no incluye datos sensibles.</t>
        </is>
      </c>
      <c r="J2" s="10" t="inlineStr">
        <is>
          <t>La conexión es HTTPS. El JWT tiene expiración de 15 minutos o menos. La respuesta tarda menos de 300 ms. La contraseña está guardada como hash bcrypt (prefijo $2b$).</t>
        </is>
      </c>
      <c r="K2" s="10" t="inlineStr">
        <is>
          <t>Aprobado</t>
        </is>
      </c>
      <c r="L2" s="10" t="inlineStr">
        <is>
          <t>HTTP 200 sobre HTTPS; JWT con vigencia de 900 s más refresh token; el payload no expone contraseña ni hash; respuesta bajo 300 ms.</t>
        </is>
      </c>
    </row>
    <row r="3" ht="57.45" customHeight="1" s="8">
      <c r="A3" s="10" t="inlineStr">
        <is>
          <t>CP-02</t>
        </is>
      </c>
      <c r="B3" s="10" t="inlineStr">
        <is>
          <t>Rol editor sin permisos de escritura</t>
        </is>
      </c>
      <c r="C3" s="10" t="inlineStr">
        <is>
          <t>RF-3.2, RB-4, NFR-SEG-4</t>
        </is>
      </c>
      <c r="D3" s="10" t="inlineStr">
        <is>
          <t>P1</t>
        </is>
      </c>
      <c r="E3" s="10" t="inlineStr">
        <is>
          <t>Seguridad (control de acceso)</t>
        </is>
      </c>
      <c r="F3" s="10" t="inlineStr">
        <is>
          <t>Usuario editor en la empresa A. Existen al menos un cliente y un contrato.</t>
        </is>
      </c>
      <c r="G3" s="10" t="inlineStr">
        <is>
          <t>1. Iniciar sesión como editor.
2. Revisar que la interfaz no muestre botones de crear, editar ni eliminar.
3. Con el token del editor, enviar POST /api/contratos.
4. Enviar PUT y DELETE sobre un cliente existente.</t>
        </is>
      </c>
      <c r="H3" s="10" t="inlineStr">
        <is>
          <t>Usuario: editor.pyme01. JSON de contrato válido para el POST.</t>
        </is>
      </c>
      <c r="I3" s="10" t="inlineStr">
        <is>
          <t>Las peticiones de los pasos 3 y 4 responden HTTP 403 y no cambian nada en la base de datos.</t>
        </is>
      </c>
      <c r="J3" s="10" t="inlineStr">
        <is>
          <t>Ninguna operación de escritura funciona con el rol editor. El bloqueo ocurre en el backend y no depende solo de ocultar botones.</t>
        </is>
      </c>
      <c r="K3" s="10" t="inlineStr">
        <is>
          <t>Aprobado</t>
        </is>
      </c>
      <c r="L3" s="10" t="inlineStr">
        <is>
          <t>POST /api/contratos y PUT/DELETE /api/clientes con token de editor responden HTTP 403; ninguna escritura prospera.</t>
        </is>
      </c>
    </row>
    <row r="4" ht="46.25" customHeight="1" s="8">
      <c r="A4" s="10" t="inlineStr">
        <is>
          <t>CP-03</t>
        </is>
      </c>
      <c r="B4" s="10" t="inlineStr">
        <is>
          <t>Aislamiento de datos entre empresas</t>
        </is>
      </c>
      <c r="C4" s="10" t="inlineStr">
        <is>
          <t>RB-2, NFR-SEG-4, NFR-SEG-8</t>
        </is>
      </c>
      <c r="D4" s="10" t="inlineStr">
        <is>
          <t>P1</t>
        </is>
      </c>
      <c r="E4" s="10" t="inlineStr">
        <is>
          <t>Seguridad (control de acceso) y cumplimiento normativo</t>
        </is>
      </c>
      <c r="F4" s="10" t="inlineStr">
        <is>
          <t>Empresas A y B con clientes cargados. El administrador solo pertenece a la empresa A.</t>
        </is>
      </c>
      <c r="G4" s="10" t="inlineStr">
        <is>
          <t>1. Iniciar sesión como administrador de A.
2. Enviar GET /api/empresas/102/clients (empresa B).
3. Enviar GET sobre un cliente de B.
4. Enviar PUT sobre un contrato de B.</t>
        </is>
      </c>
      <c r="H4" s="10" t="inlineStr">
        <is>
          <t>ID empresa A = 101, ID empresa B = 102, ID cliente de B = 5530</t>
        </is>
      </c>
      <c r="I4" s="10" t="inlineStr">
        <is>
          <t>Todas las peticiones responden 403 o 404 y no se muestra ningún dato de la empresa B.</t>
        </is>
      </c>
      <c r="J4" s="10" t="inlineStr">
        <is>
          <t>No se expone ningún dato personal o bancario de B, tanto con IDs correlativos como aleatorios. La evidencia se guarda como respaldo de cumplimiento de la Ley 19.628.</t>
        </is>
      </c>
      <c r="K4" s="10" t="inlineStr">
        <is>
          <t>Fallido</t>
        </is>
      </c>
      <c r="L4" s="10" t="inlineStr">
        <is>
          <t>Con token de la empresa 101 se obtuvo HTTP 200 al leer el cliente 5530 de la empresa 102, exponiendo su RUT y cuenta bancaria. Vulnerabilidad IDOR; criticidad Crítica.</t>
        </is>
      </c>
    </row>
    <row r="5" ht="68.65000000000001" customHeight="1" s="8">
      <c r="A5" s="10" t="inlineStr">
        <is>
          <t>CP-04</t>
        </is>
      </c>
      <c r="B5" s="10" t="inlineStr">
        <is>
          <t>Creación, validación y eliminación lógica de un cliente</t>
        </is>
      </c>
      <c r="C5" s="10" t="inlineStr">
        <is>
          <t>RF-4.1, RF-4.2, RF-4.3, RB-5, NFR-USAB-3</t>
        </is>
      </c>
      <c r="D5" s="10" t="inlineStr">
        <is>
          <t>P2</t>
        </is>
      </c>
      <c r="E5" s="10" t="inlineStr">
        <is>
          <t>Funcional (sistema)</t>
        </is>
      </c>
      <c r="F5" s="10" t="inlineStr">
        <is>
          <t>Sesión iniciada como administrador.</t>
        </is>
      </c>
      <c r="G5" s="10" t="inlineStr">
        <is>
          <t>1. Crear un cliente con datos válidos.
2. Intentar crear otro con RUT inválido y teléfono con letras.
3. Buscar el cliente creado usando el filtro por nombre.
4. Eliminarlo y cancelar en la confirmación.
5. Eliminarlo de nuevo y confirmar.
6. Revisar el registro en la base de datos.</t>
        </is>
      </c>
      <c r="H5" s="10" t="inlineStr">
        <is>
          <t>Válido: Comercial Ñuñoa Ltda., RUT 76.123.456-0, +56 9 8765 4321. Inválido: RUT 12.345.678-X, teléfono 98ab76.</t>
        </is>
      </c>
      <c r="I5" s="10" t="inlineStr">
        <is>
          <t>El cliente válido se guarda y aparece en el listado. Los datos inválidos muestran un mensaje claro en cada campo. Al cancelar no se elimina; al confirmar desaparece del listado pero sigue en la base de datos marcado como eliminado.</t>
        </is>
      </c>
      <c r="J5" s="10" t="inlineStr">
        <is>
          <t>La API también rechaza los datos inválidos (HTTP 422). La paginación y el filtro funcionan. La eliminación no borra físicamente el registro.</t>
        </is>
      </c>
      <c r="K5" s="10" t="inlineStr">
        <is>
          <t>Aprobado</t>
        </is>
      </c>
      <c r="L5" s="10" t="inlineStr">
        <is>
          <t>HTTP 201 con datos válidos y HTTP 422 al rechazar RUT y teléfono inválidos.</t>
        </is>
      </c>
    </row>
    <row r="6" ht="46.25" customHeight="1" s="8">
      <c r="A6" s="10" t="inlineStr">
        <is>
          <t>CP-05</t>
        </is>
      </c>
      <c r="B6" s="10" t="inlineStr">
        <is>
          <t>Cálculo del estado de un contrato</t>
        </is>
      </c>
      <c r="C6" s="10" t="inlineStr">
        <is>
          <t>RF-5.1, RF-5.4, RB-3</t>
        </is>
      </c>
      <c r="D6" s="10" t="inlineStr">
        <is>
          <t>P2</t>
        </is>
      </c>
      <c r="E6" s="10" t="inlineStr">
        <is>
          <t>Funcional (unitaria y sistema, valores límite)</t>
        </is>
      </c>
      <c r="F6" s="10" t="inlineStr">
        <is>
          <t>Cliente creado. Umbral de "por vencer" de 30 días (supuesto de la sección 2.4). Fecha del sistema fijada en 16/09/2026.</t>
        </is>
      </c>
      <c r="G6" s="10" t="inlineStr">
        <is>
          <t>1. Crear los contratos A, B, C y D con las fechas indicadas.
2. Revisar el estado en el listado y en el detalle.
3. Intentar asociar un contrato a un segundo cliente.</t>
        </is>
      </c>
      <c r="H6" s="10" t="inlineStr">
        <is>
          <t>A: 01/01/2026 al 31/12/2026. B: 01/01/2026 al 16/10/2026. C: 01/01/2026 al 15/09/2026. D: inicio 01/06/2026 y término 01/05/2026.</t>
        </is>
      </c>
      <c r="I6" s="10" t="inlineStr">
        <is>
          <t>A queda activo, B por vencer y C expirado. D se rechaza por fechas incoherentes. El paso 3 no se permite.</t>
        </is>
      </c>
      <c r="J6" s="10" t="inlineStr">
        <is>
          <t>Todas las combinaciones muestran el estado correcto, incluidos los límites. Un contrato pertenece a un solo cliente.</t>
        </is>
      </c>
      <c r="K6" s="10" t="inlineStr">
        <is>
          <t>Pendiente</t>
        </is>
      </c>
      <c r="L6" s="10" t="n"/>
    </row>
    <row r="7" ht="79.84999999999999" customHeight="1" s="8">
      <c r="A7" s="10" t="inlineStr">
        <is>
          <t>CP-06</t>
        </is>
      </c>
      <c r="B7" s="10" t="inlineStr">
        <is>
          <t>Protección contra inyección SQL, XSS y CSRF</t>
        </is>
      </c>
      <c r="C7" s="10" t="inlineStr">
        <is>
          <t>NFR-SEG-5, RF-4.3</t>
        </is>
      </c>
      <c r="D7" s="10" t="inlineStr">
        <is>
          <t>P1</t>
        </is>
      </c>
      <c r="E7" s="10" t="inlineStr">
        <is>
          <t>Seguridad (escaneo dinámico y pentest manual)</t>
        </is>
      </c>
      <c r="F7" s="10" t="inlineStr">
        <is>
          <t>Autorización escrita para el pentest. Ambiente QA aislado con OWASP ZAP y Burp Suite configurados.</t>
        </is>
      </c>
      <c r="G7" s="10" t="inlineStr">
        <is>
          <t>1. Ingresar una carga de inyección SQL en el login y en el filtro de clientes.
2. Guardar un cliente con un script en la descripción y abrir su detalle.
3. Enviar una petición de modificación desde otro origen sin token CSRF.
4. Ejecutar un escaneo activo con OWASP ZAP.</t>
        </is>
      </c>
      <c r="H7" s="10" t="inlineStr">
        <is>
          <t>' OR '1'='1' -- ; &lt;script&gt;alert('xss')&lt;/script&gt; ; &lt;img src=x onerror=alert(1)&gt;</t>
        </is>
      </c>
      <c r="I7" s="10" t="inlineStr">
        <is>
          <t>No se obtiene acceso ni se alteran datos. El script se muestra como texto y no se ejecuta. La petición externa es rechazada. Los errores no muestran información técnica.</t>
        </is>
      </c>
      <c r="J7" s="10" t="inlineStr">
        <is>
          <t>OWASP ZAP no reporta vulnerabilidades críticas ni altas. Las consultas son parametrizadas. Existen cabeceras CSP y CORS restrictivas.</t>
        </is>
      </c>
      <c r="K7" s="10" t="inlineStr">
        <is>
          <t>Fallido</t>
        </is>
      </c>
      <c r="L7" s="10" t="inlineStr">
        <is>
          <t>SQLi bloqueado y petición de otro origen rechazada (403); el script se almacena y se devuelve sin escapar y la respuesta no incluye cabecera CSP. Stored XSS; criticidad Grave.</t>
        </is>
      </c>
    </row>
    <row r="8" ht="57.45" customHeight="1" s="8">
      <c r="A8" s="10" t="inlineStr">
        <is>
          <t>CP-07</t>
        </is>
      </c>
      <c r="B8" s="10" t="inlineStr">
        <is>
          <t>Carga con 200 usuarios concurrentes</t>
        </is>
      </c>
      <c r="C8" s="10" t="inlineStr">
        <is>
          <t>NFR-PERF-1, NFR-PERF-2, NFR-PERF-3, NFR-DIS-1</t>
        </is>
      </c>
      <c r="D8" s="10" t="inlineStr">
        <is>
          <t>P2</t>
        </is>
      </c>
      <c r="E8" s="10" t="inlineStr">
        <is>
          <t>No funcional (rendimiento)</t>
        </is>
      </c>
      <c r="F8" s="10" t="inlineStr">
        <is>
          <t>Preproducción equivalente a producción, con 20.000 clientes y 50.000 contratos ficticios. Script de k6 revisado.</t>
        </is>
      </c>
      <c r="G8" s="10" t="inlineStr">
        <is>
          <t>1. Subir de 0 a 200 usuarios virtuales en 5 minutos.
2. Mantener 200 usuarios por 20 minutos haciendo login, listados, creación y edición de clientes.
3. Medir la página principal con Lighthouse en perfil móvil.
4. Registrar CPU, memoria y conexiones a la base de datos.</t>
        </is>
      </c>
      <c r="H8" s="10" t="inlineStr">
        <is>
          <t>Script carga_atlas.js con 60 % lecturas y 40 % escrituras.</t>
        </is>
      </c>
      <c r="I8" s="10" t="inlineStr">
        <is>
          <t>Las operaciones CRUD simples responden con p95 bajo 300 ms, la página principal carga en menos de 2 s y el servicio no se cae.</t>
        </is>
      </c>
      <c r="J8" s="10" t="inlineStr">
        <is>
          <t>Tasa de error menor a 1 %. Los umbrales se cumplen en tres ejecuciones seguidas. Se adjuntan los reportes de k6 y Lighthouse.</t>
        </is>
      </c>
      <c r="K8" s="10" t="inlineStr">
        <is>
          <t>Aprobado</t>
        </is>
      </c>
      <c r="L8" s="10" t="inlineStr">
        <is>
          <t>Carga concurrente de 200 peticiones al endpoint de lectura: 200 respuestas HTTP 200, memoria estable y sin reinicios (docker stats). Alcance acotado respecto del perfil de 200 usuarios sostenidos.</t>
        </is>
      </c>
    </row>
    <row r="9" ht="91" customHeight="1" s="8">
      <c r="A9" s="10" t="inlineStr">
        <is>
          <t>CP-08</t>
        </is>
      </c>
      <c r="B9" s="10" t="inlineStr">
        <is>
          <t>Usabilidad y accesibilidad con adultos mayores</t>
        </is>
      </c>
      <c r="C9" s="10" t="inlineStr">
        <is>
          <t>NFR-USAB-1, NFR-USAB-2, NFR-USAB-3, NFR-USAB-4</t>
        </is>
      </c>
      <c r="D9" s="10" t="inlineStr">
        <is>
          <t>P3</t>
        </is>
      </c>
      <c r="E9" s="10" t="inlineStr">
        <is>
          <t>No funcional (usabilidad y accesibilidad)</t>
        </is>
      </c>
      <c r="F9" s="10" t="inlineStr">
        <is>
          <t>5 participantes de 60 años o más con consentimiento firmado. Datos ficticios. axe DevTools y NVDA instalados.</t>
        </is>
      </c>
      <c r="G9" s="10" t="inlineStr">
        <is>
          <t>1. Pedir a cada participante buscar un cliente y abrir sus contratos.
2. Pedir crear un cliente cometiendo un error y luego corregirlo.
3. Anotar tiempo, errores y veces que pide ayuda.
4. Aplicar el cuestionario SUS.
5. Revisar las pantallas con axe y recorrerlas solo con teclado y NVDA.</t>
        </is>
      </c>
      <c r="H9" s="10" t="inlineStr">
        <is>
          <t>Guion de 3 tareas y cuestionario SUS de 10 preguntas.</t>
        </is>
      </c>
      <c r="I9" s="10" t="n"/>
      <c r="J9" s="10" t="inlineStr">
        <is>
          <t>Al menos 80 % de las tareas completadas sin ayuda. SUS de 70 o más. Contraste mínimo 4,5:1 y controles táctiles de 44 × 44 px o más. Sin errores críticos en axe.</t>
        </is>
      </c>
      <c r="K9" s="10" t="inlineStr">
        <is>
          <t>Pendiente</t>
        </is>
      </c>
      <c r="L9" s="10" t="n"/>
    </row>
    <row r="10" ht="124.6" customHeight="1" s="8">
      <c r="A10" s="10" t="inlineStr">
        <is>
          <t>CP-09</t>
        </is>
      </c>
      <c r="B10" s="10" t="inlineStr">
        <is>
          <t>Compatibilidad entre navegadores y dispositivos</t>
        </is>
      </c>
      <c r="C10" s="10" t="inlineStr">
        <is>
          <t>NFR-COMPAT-1, NFR-COMPAT-2</t>
        </is>
      </c>
      <c r="D10" s="10" t="inlineStr">
        <is>
          <t>P3</t>
        </is>
      </c>
      <c r="E10" s="10" t="inlineStr">
        <is>
          <t>No funcional (compatibilidad)</t>
        </is>
      </c>
      <c r="F10" s="10" t="inlineStr">
        <is>
          <t>Ambiente QA desplegado con datos ficticios. Suite de Playwright configurada para Chromium, Firefox y WebKit, y cuenta de BrowserStack disponible.</t>
        </is>
      </c>
      <c r="G10" s="10" t="inlineStr">
        <is>
          <t>1. Ejecutar con Playwright el flujo de login, creación de cliente, creación de contrato y consulta de auditoría en Chromium, Firefox y WebKit.
2. Repetir el flujo en BrowserStack sobre Chrome y Edge en Windows, Safari en macOS y Safari en iOS.
3. Revisar en cada navegador que tablas, formularios y botones no se corten ni se superpongan.
4. Repetir el recorrido en pantallas de 1920, 768 y 375 px de ancho.
5. En celular, comprobar el tamaño de los controles y que no haga falta desplazarse en horizontal.</t>
        </is>
      </c>
      <c r="H10" s="10" t="inlineStr">
        <is>
          <t>Mismos datos de CP-04 y CP-05. Matriz: Chrome, Firefox, Safari y Edge en sus dos últimas versiones; iPhone, Galaxy, iPad y notebook 1080p.</t>
        </is>
      </c>
      <c r="I10" s="10" t="inlineStr">
        <is>
          <t>Los flujos se completan en todos los navegadores y tamaños de pantalla, y la interfaz se reordena sin elementos cortados o inaccesibles.</t>
        </is>
      </c>
      <c r="J10" s="10" t="inlineStr">
        <is>
          <t>Sin defectos bloqueantes ni críticos en la matriz de navegadores. Las diferencias entre navegadores son solo visuales (bordes o sombras). En móvil los controles miden al menos 44 × 44 px y no se necesita desplazamiento horizontal.</t>
        </is>
      </c>
      <c r="K10" s="10" t="inlineStr">
        <is>
          <t>Pendiente</t>
        </is>
      </c>
      <c r="L10" s="10" t="n"/>
    </row>
    <row r="12" ht="15" customHeight="1" s="8">
      <c r="A12" s="11" t="inlineStr">
        <is>
          <t>La columna Estado se actualiza en cada ejecución: Pendiente, Aprobado, Fallido o Bloqueado. La prioridad sale de la tabla de riesgos de la sección 3.1.3 del informe.</t>
        </is>
      </c>
    </row>
  </sheetData>
  <autoFilter ref="A1:L10"/>
  <dataValidations count="1">
    <dataValidation sqref="K2:K10" showDropDown="0" showInputMessage="0" showErrorMessage="0" allowBlank="1" type="list" errorStyle="stop" operator="between">
      <formula1>"Pendiente,Aprobado,Fallido,Bloqueado"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" min="1" max="1"/>
    <col width="10" customWidth="1" style="7" min="2" max="2"/>
  </cols>
  <sheetData>
    <row r="1" ht="15" customHeight="1" s="8">
      <c r="A1" s="12" t="inlineStr">
        <is>
          <t>Resumen de ejecución</t>
        </is>
      </c>
    </row>
    <row r="3" ht="15" customHeight="1" s="8">
      <c r="A3" s="13" t="inlineStr">
        <is>
          <t>Estado</t>
        </is>
      </c>
      <c r="B3" s="13" t="inlineStr">
        <is>
          <t>Casos</t>
        </is>
      </c>
    </row>
    <row r="4" ht="15" customHeight="1" s="8">
      <c r="A4" s="14" t="inlineStr">
        <is>
          <t>Pendiente</t>
        </is>
      </c>
      <c r="B4" s="14">
        <f>COUNTIF(Casos!$K$2:$K$10,A4)</f>
        <v/>
      </c>
    </row>
    <row r="5" ht="15" customHeight="1" s="8">
      <c r="A5" s="14" t="inlineStr">
        <is>
          <t>Aprobado</t>
        </is>
      </c>
      <c r="B5" s="14">
        <f>COUNTIF(Casos!$K$2:$K$10,A5)</f>
        <v/>
      </c>
    </row>
    <row r="6" ht="15" customHeight="1" s="8">
      <c r="A6" s="14" t="inlineStr">
        <is>
          <t>Fallido</t>
        </is>
      </c>
      <c r="B6" s="14">
        <f>COUNTIF(Casos!$K$2:$K$10,A6)</f>
        <v/>
      </c>
    </row>
    <row r="7" ht="15" customHeight="1" s="8">
      <c r="A7" s="14" t="inlineStr">
        <is>
          <t>Bloqueado</t>
        </is>
      </c>
      <c r="B7" s="14">
        <f>COUNTIF(Casos!$K$2:$K$10,A7)</f>
        <v/>
      </c>
    </row>
    <row r="8" ht="15" customHeight="1" s="8">
      <c r="A8" s="13" t="inlineStr">
        <is>
          <t>Total</t>
        </is>
      </c>
      <c r="B8" s="14">
        <f>SUM(B4:B7)</f>
        <v/>
      </c>
    </row>
    <row r="9" ht="15" customHeight="1" s="8">
      <c r="A9" s="14" t="n"/>
      <c r="B9" s="14" t="n"/>
    </row>
    <row r="10" ht="15" customHeight="1" s="8">
      <c r="A10" s="13" t="inlineStr">
        <is>
          <t>Prioridad</t>
        </is>
      </c>
      <c r="B10" s="13" t="inlineStr">
        <is>
          <t>Casos</t>
        </is>
      </c>
    </row>
    <row r="11" ht="15" customHeight="1" s="8">
      <c r="A11" s="14" t="inlineStr">
        <is>
          <t>P1</t>
        </is>
      </c>
      <c r="B11" s="14">
        <f>COUNTIF(Casos!$D$2:$D$10,A11)</f>
        <v/>
      </c>
    </row>
    <row r="12" ht="15" customHeight="1" s="8">
      <c r="A12" s="14" t="inlineStr">
        <is>
          <t>P2</t>
        </is>
      </c>
      <c r="B12" s="14">
        <f>COUNTIF(Casos!$D$2:$D$10,A12)</f>
        <v/>
      </c>
    </row>
    <row r="13" ht="15" customHeight="1" s="8">
      <c r="A13" s="14" t="inlineStr">
        <is>
          <t>P3</t>
        </is>
      </c>
      <c r="B13" s="14">
        <f>COUNTIF(Casos!$D$2:$D$10,A13)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2026-09-30T20:34:11Z</dcterms:created>
  <dcterms:modified xmlns:dcterms="http://purl.org/dc/terms/" xmlns:xsi="http://www.w3.org/2001/XMLSchema-instance" xsi:type="dcterms:W3CDTF">2026-10-29T15:47:07Z</dcterms:modified>
  <cp:revision>0</cp:revision>
</cp:coreProperties>
</file>